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A78FCF9-596C-459C-BB69-21BEE2D21A8B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istorical Data" sheetId="1" r:id="rId1"/>
    <sheet name="DCF Model" sheetId="2" r:id="rId2"/>
    <sheet name="Proje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  <c r="C9" i="3"/>
  <c r="B9" i="3"/>
  <c r="B2" i="3"/>
  <c r="D4" i="1"/>
  <c r="C4" i="1"/>
  <c r="B7" i="3" l="1"/>
  <c r="B6" i="3"/>
  <c r="B5" i="3"/>
  <c r="C2" i="3"/>
  <c r="B3" i="3"/>
  <c r="B4" i="3" s="1"/>
  <c r="B8" i="3" s="1"/>
  <c r="B13" i="3" s="1"/>
  <c r="C7" i="3" l="1"/>
  <c r="C6" i="3"/>
  <c r="C5" i="3"/>
  <c r="D2" i="3"/>
  <c r="D7" i="3" s="1"/>
  <c r="C3" i="3"/>
  <c r="C4" i="3" s="1"/>
  <c r="C8" i="3" s="1"/>
  <c r="C13" i="3" s="1"/>
  <c r="D6" i="3" l="1"/>
  <c r="D5" i="3"/>
  <c r="E2" i="3"/>
  <c r="E7" i="3" s="1"/>
  <c r="D3" i="3"/>
  <c r="D4" i="3" s="1"/>
  <c r="D8" i="3" s="1"/>
  <c r="D13" i="3" s="1"/>
  <c r="E6" i="3" l="1"/>
  <c r="E5" i="3"/>
  <c r="F2" i="3"/>
  <c r="F7" i="3" s="1"/>
  <c r="E3" i="3"/>
  <c r="E4" i="3" s="1"/>
  <c r="E8" i="3" s="1"/>
  <c r="E13" i="3" s="1"/>
  <c r="F6" i="3" l="1"/>
  <c r="F5" i="3"/>
  <c r="F3" i="3"/>
  <c r="F4" i="3" s="1"/>
  <c r="F8" i="3" s="1"/>
  <c r="F14" i="3" l="1"/>
  <c r="F15" i="3" s="1"/>
  <c r="F13" i="3"/>
  <c r="F16" i="3" l="1"/>
  <c r="B19" i="3" s="1"/>
</calcChain>
</file>

<file path=xl/sharedStrings.xml><?xml version="1.0" encoding="utf-8"?>
<sst xmlns="http://schemas.openxmlformats.org/spreadsheetml/2006/main" count="45" uniqueCount="36">
  <si>
    <t>Historical Data</t>
  </si>
  <si>
    <t>Year</t>
  </si>
  <si>
    <t>Revenue</t>
  </si>
  <si>
    <t>Revenue Growth</t>
  </si>
  <si>
    <t>Operating Income</t>
  </si>
  <si>
    <t>Depreciation</t>
  </si>
  <si>
    <t>CapEx</t>
  </si>
  <si>
    <t>Assumptions</t>
  </si>
  <si>
    <t>Revenue Growth Year 1</t>
  </si>
  <si>
    <t>Years</t>
  </si>
  <si>
    <t>Revenue Growth Year 2</t>
  </si>
  <si>
    <t>EBIT %</t>
  </si>
  <si>
    <t>Revenue Growth Year 3</t>
  </si>
  <si>
    <t>Revenue Growth Year 4</t>
  </si>
  <si>
    <t>Revenue Growth Year 5</t>
  </si>
  <si>
    <t>Tax Rate</t>
  </si>
  <si>
    <t>WACC</t>
  </si>
  <si>
    <t>Terminal Growth</t>
  </si>
  <si>
    <t>D&amp;A % of Revenue</t>
  </si>
  <si>
    <t>CapEx % of Revenue</t>
  </si>
  <si>
    <t>NWC % of Rev Change</t>
  </si>
  <si>
    <t>Sensitivy Table</t>
  </si>
  <si>
    <t>EBIT</t>
  </si>
  <si>
    <t>Implied Share Prices</t>
  </si>
  <si>
    <t>NOPAT</t>
  </si>
  <si>
    <t>D&amp;A</t>
  </si>
  <si>
    <t>Change in NWC</t>
  </si>
  <si>
    <t>FCF</t>
  </si>
  <si>
    <t>Discount Factor</t>
  </si>
  <si>
    <t>Valuation</t>
  </si>
  <si>
    <t>NVIDIA DCF Summary</t>
  </si>
  <si>
    <t>PV of FCF</t>
  </si>
  <si>
    <t>Terminal Value</t>
  </si>
  <si>
    <t>Enterprise Value</t>
  </si>
  <si>
    <t>PV of Terminal Value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</si>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</sst>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/>
    </xf>
    <xf numFmtId="10" fontId="0" fillId="0" borderId="1" xfId="0" applyNumberFormat="1" applyBorder="1"/>
    <xf numFmtId="0" fontId="0" fillId="2" borderId="1" xfId="0" applyFill="1" applyBorder="1"/>
    <xf numFmtId="10" fontId="0" fillId="2" borderId="1" xfId="0" applyNumberFormat="1" applyFill="1" applyBorder="1"/>
    <xf numFmtId="0" fontId="1" fillId="3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9" fontId="0" fillId="2" borderId="1" xfId="0" applyNumberFormat="1" applyFill="1" applyBorder="1"/>
    <xf numFmtId="0" fontId="3" fillId="0" borderId="0" xfId="0" applyFont="1" applyAlignment="1">
      <alignment vertical="center"/>
    </xf>
    <xf numFmtId="3" fontId="0" fillId="0" borderId="1" xfId="0" applyNumberForma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8" fontId="0" fillId="0" borderId="0" xfId="0" applyNumberFormat="1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/>
    <xf numFmtId="9" fontId="0" fillId="0" borderId="1" xfId="0" quotePrefix="1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WACC vs Implied Share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Field2</c:v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Projections!$I$4:$I$7</c:f>
              <c:numCache>
                <c:formatCode>0%</c:formatCode>
                <c:ptCount val="4"/>
                <c:pt idx="0">
                  <c:v>0.09</c:v>
                </c:pt>
                <c:pt idx="1">
                  <c:v>0.1</c:v>
                </c:pt>
                <c:pt idx="2">
                  <c:v>0.11</c:v>
                </c:pt>
                <c:pt idx="3">
                  <c:v>0.12</c:v>
                </c:pt>
              </c:numCache>
            </c:numRef>
          </c:cat>
          <c:val>
            <c:numRef>
              <c:f>Projections!$J$4:$J$7</c:f>
              <c:numCache>
                <c:formatCode>General</c:formatCode>
                <c:ptCount val="4"/>
                <c:pt idx="0">
                  <c:v>56.08</c:v>
                </c:pt>
                <c:pt idx="1">
                  <c:v>47.94</c:v>
                </c:pt>
                <c:pt idx="2">
                  <c:v>41.84</c:v>
                </c:pt>
                <c:pt idx="3">
                  <c:v>37.090000000000003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58D3EAA8-4EF3-484F-9442-0C2BCE913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773895"/>
        <c:axId val="2124788231"/>
      </c:lineChart>
      <c:catAx>
        <c:axId val="212477389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88231"/>
        <c:crosses val="autoZero"/>
        <c:auto val="1"/>
        <c:lblAlgn val="ctr"/>
        <c:lblOffset val="100"/>
        <c:noMultiLvlLbl val="0"/>
      </c:catAx>
      <c:valAx>
        <c:axId val="212478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73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9525</xdr:rowOff>
    </xdr:from>
    <xdr:to>
      <xdr:col>18</xdr:col>
      <xdr:colOff>304800</xdr:colOff>
      <xdr:row>15</xdr:row>
      <xdr:rowOff>47625</xdr:rowOff>
    </xdr:to>
    <xdr:graphicFrame macro="">
      <xdr:nvGraphicFramePr>
        <xdr:cNvPr id="2" name="Chart 1" descr="Chart type: Line. 'Field2'&#10;&#10;Description automatically generated">
          <a:extLst>
            <a:ext uri="{FF2B5EF4-FFF2-40B4-BE49-F238E27FC236}">
              <a16:creationId xmlns:a16="http://schemas.microsoft.com/office/drawing/2014/main" id="{C9FB6EA0-F2AC-212A-B4A3-D400611BF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workbookViewId="0">
      <selection activeCell="B22" sqref="B22"/>
    </sheetView>
  </sheetViews>
  <sheetFormatPr defaultRowHeight="15"/>
  <cols>
    <col min="1" max="1" width="19" customWidth="1"/>
    <col min="2" max="2" width="16.5703125" customWidth="1"/>
    <col min="3" max="3" width="14" customWidth="1"/>
    <col min="4" max="4" width="13" customWidth="1"/>
  </cols>
  <sheetData>
    <row r="1" spans="1:5" ht="15.75">
      <c r="A1" s="28" t="s">
        <v>0</v>
      </c>
      <c r="B1" s="29"/>
      <c r="C1" s="29"/>
      <c r="D1" s="30"/>
      <c r="E1" s="13"/>
    </row>
    <row r="2" spans="1:5">
      <c r="A2" s="1" t="s">
        <v>1</v>
      </c>
      <c r="B2" s="1">
        <v>2023</v>
      </c>
      <c r="C2" s="1">
        <v>2024</v>
      </c>
      <c r="D2" s="1">
        <v>2025</v>
      </c>
    </row>
    <row r="3" spans="1:5">
      <c r="A3" s="1" t="s">
        <v>2</v>
      </c>
      <c r="B3" s="14">
        <v>26974</v>
      </c>
      <c r="C3" s="14">
        <v>60922</v>
      </c>
      <c r="D3" s="14">
        <v>130497</v>
      </c>
    </row>
    <row r="4" spans="1:5">
      <c r="A4" s="1" t="s">
        <v>3</v>
      </c>
      <c r="B4" s="14"/>
      <c r="C4" s="6">
        <f>(C3/B3) -1</f>
        <v>1.2585452658115224</v>
      </c>
      <c r="D4" s="6">
        <f>(D3/C3) -1</f>
        <v>1.1420340763599355</v>
      </c>
    </row>
    <row r="5" spans="1:5">
      <c r="A5" s="1" t="s">
        <v>4</v>
      </c>
      <c r="B5" s="14">
        <v>4224</v>
      </c>
      <c r="C5" s="14">
        <v>32972</v>
      </c>
      <c r="D5" s="14">
        <v>81453</v>
      </c>
    </row>
    <row r="6" spans="1:5">
      <c r="A6" s="1" t="s">
        <v>5</v>
      </c>
      <c r="B6" s="14">
        <v>1544</v>
      </c>
      <c r="C6" s="14">
        <v>1508</v>
      </c>
      <c r="D6" s="14">
        <v>1864</v>
      </c>
    </row>
    <row r="7" spans="1:5">
      <c r="A7" s="1" t="s">
        <v>6</v>
      </c>
      <c r="B7" s="14">
        <v>1833</v>
      </c>
      <c r="C7" s="14">
        <v>1069</v>
      </c>
      <c r="D7" s="14">
        <v>3236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8A85-7729-4DBE-8378-49D7CCAC72DF}">
  <dimension ref="A1:K13"/>
  <sheetViews>
    <sheetView showGridLines="0" workbookViewId="0">
      <selection activeCell="E7" sqref="E7"/>
    </sheetView>
  </sheetViews>
  <sheetFormatPr defaultRowHeight="15"/>
  <cols>
    <col min="1" max="1" width="31.28515625" customWidth="1"/>
    <col min="2" max="2" width="17.28515625" customWidth="1"/>
    <col min="6" max="6" width="17.140625" customWidth="1"/>
    <col min="7" max="7" width="14" customWidth="1"/>
  </cols>
  <sheetData>
    <row r="1" spans="1:11" ht="18.75">
      <c r="A1" s="31" t="s">
        <v>7</v>
      </c>
      <c r="B1" s="31"/>
      <c r="F1" s="2"/>
      <c r="G1" s="2"/>
      <c r="H1" s="2"/>
      <c r="I1" s="2"/>
      <c r="J1" s="2"/>
      <c r="K1" s="2"/>
    </row>
    <row r="2" spans="1:11">
      <c r="A2" s="7" t="s">
        <v>8</v>
      </c>
      <c r="B2" s="12">
        <v>0.25</v>
      </c>
      <c r="F2" s="9" t="s">
        <v>9</v>
      </c>
      <c r="G2" s="9">
        <v>2026</v>
      </c>
      <c r="H2" s="9">
        <v>2027</v>
      </c>
      <c r="I2" s="9">
        <v>2028</v>
      </c>
      <c r="J2" s="9">
        <v>2029</v>
      </c>
      <c r="K2" s="9">
        <v>2030</v>
      </c>
    </row>
    <row r="3" spans="1:11">
      <c r="A3" s="7" t="s">
        <v>10</v>
      </c>
      <c r="B3" s="12">
        <v>0.2</v>
      </c>
      <c r="F3" s="10" t="s">
        <v>11</v>
      </c>
      <c r="G3" s="11">
        <v>0.57999999999999996</v>
      </c>
      <c r="H3" s="11">
        <v>0.56000000000000005</v>
      </c>
      <c r="I3" s="11">
        <v>0.53</v>
      </c>
      <c r="J3" s="11">
        <v>0.5</v>
      </c>
      <c r="K3" s="11">
        <v>0.48</v>
      </c>
    </row>
    <row r="4" spans="1:11">
      <c r="A4" s="7" t="s">
        <v>12</v>
      </c>
      <c r="B4" s="12">
        <v>0.15</v>
      </c>
    </row>
    <row r="5" spans="1:11">
      <c r="A5" s="7" t="s">
        <v>13</v>
      </c>
      <c r="B5" s="12">
        <v>0.1</v>
      </c>
    </row>
    <row r="6" spans="1:11">
      <c r="A6" s="7" t="s">
        <v>14</v>
      </c>
      <c r="B6" s="12">
        <v>0.08</v>
      </c>
    </row>
    <row r="7" spans="1:11">
      <c r="A7" s="7" t="s">
        <v>15</v>
      </c>
      <c r="B7" s="12">
        <v>0.21</v>
      </c>
    </row>
    <row r="8" spans="1:11">
      <c r="A8" s="7" t="s">
        <v>16</v>
      </c>
      <c r="B8" s="12">
        <v>0.11</v>
      </c>
    </row>
    <row r="9" spans="1:11">
      <c r="A9" s="7" t="s">
        <v>17</v>
      </c>
      <c r="B9" s="12">
        <v>0.03</v>
      </c>
    </row>
    <row r="11" spans="1:11">
      <c r="A11" s="7" t="s">
        <v>18</v>
      </c>
      <c r="B11" s="8">
        <v>1.4E-2</v>
      </c>
    </row>
    <row r="12" spans="1:11">
      <c r="A12" s="7" t="s">
        <v>19</v>
      </c>
      <c r="B12" s="8">
        <v>2.5000000000000001E-2</v>
      </c>
    </row>
    <row r="13" spans="1:11">
      <c r="A13" s="7" t="s">
        <v>20</v>
      </c>
      <c r="B13" s="8">
        <v>0.14499999999999999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FB38-87A2-4345-94D8-7DF0A8145DCE}">
  <dimension ref="A1:N19"/>
  <sheetViews>
    <sheetView showGridLines="0" tabSelected="1" topLeftCell="D1" workbookViewId="0">
      <selection activeCell="I22" sqref="I22"/>
    </sheetView>
  </sheetViews>
  <sheetFormatPr defaultRowHeight="15"/>
  <cols>
    <col min="1" max="1" width="21.28515625" customWidth="1"/>
    <col min="2" max="2" width="12.5703125" customWidth="1"/>
    <col min="3" max="3" width="13.5703125" customWidth="1"/>
    <col min="4" max="4" width="10.85546875" customWidth="1"/>
    <col min="5" max="5" width="14.140625" customWidth="1"/>
    <col min="6" max="6" width="15.42578125" customWidth="1"/>
    <col min="8" max="8" width="10.140625" customWidth="1"/>
    <col min="9" max="9" width="18.42578125" customWidth="1"/>
    <col min="10" max="10" width="21.140625" customWidth="1"/>
    <col min="11" max="11" width="8.85546875" customWidth="1"/>
  </cols>
  <sheetData>
    <row r="1" spans="1:14" ht="15.75">
      <c r="A1" s="16" t="s">
        <v>1</v>
      </c>
      <c r="B1" s="16">
        <v>2026</v>
      </c>
      <c r="C1" s="16">
        <v>2027</v>
      </c>
      <c r="D1" s="16">
        <v>2028</v>
      </c>
      <c r="E1" s="16">
        <v>2029</v>
      </c>
      <c r="F1" s="16">
        <v>2030</v>
      </c>
      <c r="I1" s="33"/>
      <c r="J1" s="33"/>
      <c r="K1" s="33"/>
      <c r="L1" s="33"/>
      <c r="M1" s="33"/>
      <c r="N1" s="33"/>
    </row>
    <row r="2" spans="1:14" ht="15.75">
      <c r="A2" s="24" t="s">
        <v>2</v>
      </c>
      <c r="B2" s="25">
        <f>'Historical Data'!D3*(1+'DCF Model'!$B$2)</f>
        <v>163121.25</v>
      </c>
      <c r="C2" s="25">
        <f>B2*(1+'DCF Model'!B3)</f>
        <v>195745.5</v>
      </c>
      <c r="D2" s="25">
        <f>C2*(1+'DCF Model'!B4)</f>
        <v>225107.32499999998</v>
      </c>
      <c r="E2" s="25">
        <f>D2*(1+'DCF Model'!B5)</f>
        <v>247618.0575</v>
      </c>
      <c r="F2" s="25">
        <f>E2*(1+'DCF Model'!B6)</f>
        <v>267427.50210000004</v>
      </c>
      <c r="I2" s="34" t="s">
        <v>21</v>
      </c>
      <c r="J2" s="34"/>
      <c r="K2" s="15"/>
      <c r="L2" s="15"/>
      <c r="M2" s="15"/>
    </row>
    <row r="3" spans="1:14">
      <c r="A3" s="24" t="s">
        <v>22</v>
      </c>
      <c r="B3" s="25">
        <f>B2 * 'DCF Model'!G3</f>
        <v>94610.324999999997</v>
      </c>
      <c r="C3" s="25">
        <f>C2 * 'DCF Model'!H3</f>
        <v>109617.48000000001</v>
      </c>
      <c r="D3" s="25">
        <f>D2 * 'DCF Model'!I3</f>
        <v>119306.88225</v>
      </c>
      <c r="E3" s="25">
        <f>E2 * 'DCF Model'!J3</f>
        <v>123809.02875</v>
      </c>
      <c r="F3" s="25">
        <f>F2 * 'DCF Model'!K3</f>
        <v>128365.20100800002</v>
      </c>
      <c r="I3" s="20" t="s">
        <v>16</v>
      </c>
      <c r="J3" s="21" t="s">
        <v>23</v>
      </c>
      <c r="K3" s="4"/>
      <c r="L3" s="4"/>
    </row>
    <row r="4" spans="1:14">
      <c r="A4" s="24" t="s">
        <v>24</v>
      </c>
      <c r="B4" s="25">
        <f>B3*(1-'DCF Model'!$B$7)</f>
        <v>74742.156749999995</v>
      </c>
      <c r="C4" s="25">
        <f>C3*(1-'DCF Model'!$B$7)</f>
        <v>86597.809200000018</v>
      </c>
      <c r="D4" s="25">
        <f>D3*(1-'DCF Model'!$B$7)</f>
        <v>94252.436977499994</v>
      </c>
      <c r="E4" s="25">
        <f>E3*(1-'DCF Model'!$B$7)</f>
        <v>97809.13271250001</v>
      </c>
      <c r="F4" s="25">
        <f>F3*(1-'DCF Model'!$B$7)</f>
        <v>101408.50879632002</v>
      </c>
      <c r="I4" s="27">
        <v>0.09</v>
      </c>
      <c r="J4" s="18">
        <v>56.08</v>
      </c>
    </row>
    <row r="5" spans="1:14">
      <c r="A5" s="24" t="s">
        <v>25</v>
      </c>
      <c r="B5" s="25">
        <f>B2 * 'DCF Model'!$B$11</f>
        <v>2283.6975000000002</v>
      </c>
      <c r="C5" s="25">
        <f>C2 * 'DCF Model'!$B$11</f>
        <v>2740.4369999999999</v>
      </c>
      <c r="D5" s="25">
        <f>D2 * 'DCF Model'!$B$11</f>
        <v>3151.5025499999997</v>
      </c>
      <c r="E5" s="25">
        <f>E2 * 'DCF Model'!$B$11</f>
        <v>3466.6528050000002</v>
      </c>
      <c r="F5" s="25">
        <f>F2 * 'DCF Model'!$B$11</f>
        <v>3743.9850294000007</v>
      </c>
      <c r="I5" s="19">
        <v>0.1</v>
      </c>
      <c r="J5" s="18">
        <v>47.94</v>
      </c>
    </row>
    <row r="6" spans="1:14">
      <c r="A6" s="24" t="s">
        <v>6</v>
      </c>
      <c r="B6" s="25">
        <f>B2 * 'DCF Model'!$B$12</f>
        <v>4078.03125</v>
      </c>
      <c r="C6" s="25">
        <f>C2 * 'DCF Model'!$B$12</f>
        <v>4893.6374999999998</v>
      </c>
      <c r="D6" s="25">
        <f>D2 * 'DCF Model'!$B$12</f>
        <v>5627.6831249999996</v>
      </c>
      <c r="E6" s="25">
        <f>E2 * 'DCF Model'!$B$12</f>
        <v>6190.4514374999999</v>
      </c>
      <c r="F6" s="25">
        <f>F2 * 'DCF Model'!$B$12</f>
        <v>6685.6875525000014</v>
      </c>
      <c r="I6" s="19">
        <v>0.11</v>
      </c>
      <c r="J6" s="18">
        <v>41.84</v>
      </c>
    </row>
    <row r="7" spans="1:14">
      <c r="A7" s="24" t="s">
        <v>26</v>
      </c>
      <c r="B7" s="25">
        <f>(B2 - 'Historical Data'!D3) * 'DCF Model'!$B$13</f>
        <v>4730.5162499999997</v>
      </c>
      <c r="C7" s="25">
        <f>(C2 - B2) * 'DCF Model'!$B$13</f>
        <v>4730.5162499999997</v>
      </c>
      <c r="D7" s="25">
        <f>(D2 - C2) * 'DCF Model'!$B$13</f>
        <v>4257.4646249999969</v>
      </c>
      <c r="E7" s="25">
        <f>(E2 - D2) * 'DCF Model'!$B$13</f>
        <v>3264.0562125000015</v>
      </c>
      <c r="F7" s="25">
        <f>(F2 - E2) * 'DCF Model'!$B$13</f>
        <v>2872.3694670000064</v>
      </c>
      <c r="I7" s="19">
        <v>0.12</v>
      </c>
      <c r="J7" s="18">
        <v>37.090000000000003</v>
      </c>
    </row>
    <row r="8" spans="1:14">
      <c r="A8" s="24" t="s">
        <v>27</v>
      </c>
      <c r="B8" s="25">
        <f>B4+B5-B6-B7</f>
        <v>68217.306749999989</v>
      </c>
      <c r="C8" s="25">
        <f t="shared" ref="C8:F8" si="0">C4+C5-C6-C7</f>
        <v>79714.092450000026</v>
      </c>
      <c r="D8" s="25">
        <f t="shared" si="0"/>
        <v>87518.79177750001</v>
      </c>
      <c r="E8" s="25">
        <f t="shared" si="0"/>
        <v>91821.277867500015</v>
      </c>
      <c r="F8" s="25">
        <f t="shared" si="0"/>
        <v>95594.436806220008</v>
      </c>
    </row>
    <row r="9" spans="1:14">
      <c r="A9" s="24" t="s">
        <v>28</v>
      </c>
      <c r="B9" s="25">
        <f>1/(1+'DCF Model'!$B$8)^1</f>
        <v>0.9009009009009008</v>
      </c>
      <c r="C9" s="25">
        <f>1/(1+'DCF Model'!$B$8)^2</f>
        <v>0.8116224332440547</v>
      </c>
      <c r="D9" s="25">
        <f>1/(1+'DCF Model'!$B$8)^3</f>
        <v>0.73119138130095018</v>
      </c>
      <c r="E9" s="25">
        <f>1/(1+'DCF Model'!$B$8)^4</f>
        <v>0.65873097414500015</v>
      </c>
      <c r="F9" s="25">
        <f>1/(1+'DCF Model'!$B$8)^5</f>
        <v>0.5934513280585586</v>
      </c>
      <c r="I9" s="4"/>
    </row>
    <row r="10" spans="1:14" ht="15.75">
      <c r="J10" s="5"/>
      <c r="K10" s="5"/>
    </row>
    <row r="11" spans="1:14" ht="15.75">
      <c r="A11" s="32" t="s">
        <v>29</v>
      </c>
      <c r="B11" s="32"/>
      <c r="C11" s="32"/>
      <c r="D11" s="32"/>
      <c r="E11" s="32"/>
      <c r="F11" s="32"/>
      <c r="I11" s="34" t="s">
        <v>30</v>
      </c>
      <c r="J11" s="34"/>
      <c r="K11" s="4"/>
    </row>
    <row r="12" spans="1:14" ht="15.75">
      <c r="A12" s="16" t="s">
        <v>1</v>
      </c>
      <c r="B12" s="16">
        <v>2026</v>
      </c>
      <c r="C12" s="16">
        <v>2027</v>
      </c>
      <c r="D12" s="16">
        <v>2028</v>
      </c>
      <c r="E12" s="16">
        <v>2029</v>
      </c>
      <c r="F12" s="16">
        <v>2030</v>
      </c>
      <c r="I12" s="18" t="s">
        <v>16</v>
      </c>
      <c r="J12" s="19">
        <v>0.11</v>
      </c>
      <c r="K12" s="4"/>
    </row>
    <row r="13" spans="1:14">
      <c r="A13" s="24" t="s">
        <v>31</v>
      </c>
      <c r="B13" s="25">
        <f>B8 * B9</f>
        <v>61457.033108108095</v>
      </c>
      <c r="C13" s="25">
        <f t="shared" ref="C13:F13" si="1">C8 * C9</f>
        <v>64697.74567811055</v>
      </c>
      <c r="D13" s="25">
        <f t="shared" si="1"/>
        <v>63992.98624958047</v>
      </c>
      <c r="E13" s="25">
        <f t="shared" si="1"/>
        <v>60485.519816897024</v>
      </c>
      <c r="F13" s="25">
        <f t="shared" si="1"/>
        <v>56730.645477661223</v>
      </c>
      <c r="I13" s="18" t="s">
        <v>17</v>
      </c>
      <c r="J13" s="19">
        <v>0.03</v>
      </c>
      <c r="K13" s="17"/>
    </row>
    <row r="14" spans="1:14">
      <c r="A14" s="24" t="s">
        <v>32</v>
      </c>
      <c r="B14" s="25"/>
      <c r="C14" s="25"/>
      <c r="D14" s="25"/>
      <c r="E14" s="25"/>
      <c r="F14" s="25">
        <f>F8*(1+'DCF Model'!$B$9)/('DCF Model'!$B$8-'DCF Model'!$B$9)</f>
        <v>1230778.3738800827</v>
      </c>
      <c r="I14" s="18" t="s">
        <v>33</v>
      </c>
      <c r="J14" s="22">
        <v>1037771</v>
      </c>
      <c r="K14" s="17"/>
    </row>
    <row r="15" spans="1:14">
      <c r="A15" s="24" t="s">
        <v>34</v>
      </c>
      <c r="B15" s="25"/>
      <c r="C15" s="25"/>
      <c r="D15" s="25"/>
      <c r="E15" s="25"/>
      <c r="F15" s="25">
        <f>F14 * F9</f>
        <v>730407.06052488822</v>
      </c>
      <c r="I15" s="18" t="s">
        <v>35</v>
      </c>
      <c r="J15" s="23">
        <v>41.84</v>
      </c>
    </row>
    <row r="16" spans="1:14">
      <c r="A16" s="24" t="s">
        <v>33</v>
      </c>
      <c r="B16" s="25"/>
      <c r="C16" s="25"/>
      <c r="D16" s="25"/>
      <c r="E16" s="25"/>
      <c r="F16" s="25">
        <f>SUM(B13:F13) + F15</f>
        <v>1037770.9908552456</v>
      </c>
    </row>
    <row r="17" spans="1:6">
      <c r="A17" s="3"/>
      <c r="B17" s="3"/>
      <c r="C17" s="3"/>
      <c r="D17" s="3"/>
      <c r="E17" s="3"/>
      <c r="F17" s="3"/>
    </row>
    <row r="19" spans="1:6">
      <c r="A19" s="1" t="s">
        <v>35</v>
      </c>
      <c r="B19" s="26">
        <f>F16/24804</f>
        <v>41.838856267345818</v>
      </c>
    </row>
  </sheetData>
  <mergeCells count="4">
    <mergeCell ref="A11:F11"/>
    <mergeCell ref="I1:N1"/>
    <mergeCell ref="I2:J2"/>
    <mergeCell ref="I11:J1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2026-02-21T00:26:42Z</dcterms:created>
  <dcterms:modified xsi:type="dcterms:W3CDTF">2026-02-22T20:54:03Z</dcterms:modified>
  <cp:category/>
  <cp:contentStatus/>
</cp:coreProperties>
</file>